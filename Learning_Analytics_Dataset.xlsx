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rning_Data" sheetId="1" state="visible" r:id="rId3"/>
    <sheet name="Summary_Dashboard" sheetId="2" state="visible" r:id="rId4"/>
    <sheet name="Dept_Breakdown" sheetId="3" state="visible" r:id="rId5"/>
  </sheets>
  <definedNames>
    <definedName function="false" hidden="true" localSheetId="0" name="_xlnm._FilterDatabase" vbProcedure="false">Learning_Data!$A$1:$P$51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<sst xmlns="http://schemas.openxmlformats.org/spreadsheetml/2006/main" count="540" uniqueCount="169">
  <si>
    <t xml:space="preserve">Learner_ID</t>
  </si>
  <si>
    <t xml:space="preserve">Learner_Name</t>
  </si>
  <si>
    <t xml:space="preserve">Department</t>
  </si>
  <si>
    <t xml:space="preserve">Region</t>
  </si>
  <si>
    <t xml:space="preserve">Course_Name</t>
  </si>
  <si>
    <t xml:space="preserve">Course_Category</t>
  </si>
  <si>
    <t xml:space="preserve">Assigned_Date</t>
  </si>
  <si>
    <t xml:space="preserve">Completion_Date</t>
  </si>
  <si>
    <t xml:space="preserve">Completion_Status</t>
  </si>
  <si>
    <t xml:space="preserve">Score_%</t>
  </si>
  <si>
    <t xml:space="preserve">Time_Spent_Hrs</t>
  </si>
  <si>
    <t xml:space="preserve">SLA_Days</t>
  </si>
  <si>
    <t xml:space="preserve">Actual_Days_Taken</t>
  </si>
  <si>
    <t xml:space="preserve">SLA_Met</t>
  </si>
  <si>
    <t xml:space="preserve">Manager_Name</t>
  </si>
  <si>
    <t xml:space="preserve">Quarter</t>
  </si>
  <si>
    <t xml:space="preserve">EMP1001</t>
  </si>
  <si>
    <t xml:space="preserve">Aarav Shah</t>
  </si>
  <si>
    <t xml:space="preserve">Marketing</t>
  </si>
  <si>
    <t xml:space="preserve">APAC</t>
  </si>
  <si>
    <t xml:space="preserve">Compliance Basics</t>
  </si>
  <si>
    <t xml:space="preserve">Compliance</t>
  </si>
  <si>
    <t xml:space="preserve">Completed</t>
  </si>
  <si>
    <t xml:space="preserve">Yes</t>
  </si>
  <si>
    <t xml:space="preserve">Neha Verma</t>
  </si>
  <si>
    <t xml:space="preserve">Q2 2025</t>
  </si>
  <si>
    <t xml:space="preserve">EMP1002</t>
  </si>
  <si>
    <t xml:space="preserve">Priya Nair</t>
  </si>
  <si>
    <t xml:space="preserve">Sales</t>
  </si>
  <si>
    <t xml:space="preserve">Advanced Excel</t>
  </si>
  <si>
    <t xml:space="preserve">Technical</t>
  </si>
  <si>
    <t xml:space="preserve">Sunil Mehta</t>
  </si>
  <si>
    <t xml:space="preserve">EMP1003</t>
  </si>
  <si>
    <t xml:space="preserve">Rohan Verma</t>
  </si>
  <si>
    <t xml:space="preserve">Finance</t>
  </si>
  <si>
    <t xml:space="preserve">EMEA</t>
  </si>
  <si>
    <t xml:space="preserve">Workplace Safety</t>
  </si>
  <si>
    <t xml:space="preserve">Priya Sharma</t>
  </si>
  <si>
    <t xml:space="preserve">EMP1004</t>
  </si>
  <si>
    <t xml:space="preserve">Sneha Iyer</t>
  </si>
  <si>
    <t xml:space="preserve">Operations</t>
  </si>
  <si>
    <t xml:space="preserve">Rajesh Kumar</t>
  </si>
  <si>
    <t xml:space="preserve">Q1 2025</t>
  </si>
  <si>
    <t xml:space="preserve">EMP1005</t>
  </si>
  <si>
    <t xml:space="preserve">Karan Mehta</t>
  </si>
  <si>
    <t xml:space="preserve">Communication Skills</t>
  </si>
  <si>
    <t xml:space="preserve">Soft Skills</t>
  </si>
  <si>
    <t xml:space="preserve">Amit Singh</t>
  </si>
  <si>
    <t xml:space="preserve">EMP1006</t>
  </si>
  <si>
    <t xml:space="preserve">Ananya Bose</t>
  </si>
  <si>
    <t xml:space="preserve">IT</t>
  </si>
  <si>
    <t xml:space="preserve">EMP1007</t>
  </si>
  <si>
    <t xml:space="preserve">Vikram Rao</t>
  </si>
  <si>
    <t xml:space="preserve">HR</t>
  </si>
  <si>
    <t xml:space="preserve">Customer Service Excellence</t>
  </si>
  <si>
    <t xml:space="preserve">No</t>
  </si>
  <si>
    <t xml:space="preserve">EMP1008</t>
  </si>
  <si>
    <t xml:space="preserve">Divya Pillai</t>
  </si>
  <si>
    <t xml:space="preserve">EMP1009</t>
  </si>
  <si>
    <t xml:space="preserve">Arjun Gupta</t>
  </si>
  <si>
    <t xml:space="preserve">In Progress</t>
  </si>
  <si>
    <t xml:space="preserve">EMP1010</t>
  </si>
  <si>
    <t xml:space="preserve">Meera Joshi</t>
  </si>
  <si>
    <t xml:space="preserve">Data Privacy &amp; GDPR</t>
  </si>
  <si>
    <t xml:space="preserve">Q3 2025</t>
  </si>
  <si>
    <t xml:space="preserve">EMP1011</t>
  </si>
  <si>
    <t xml:space="preserve">Nikhil Patil</t>
  </si>
  <si>
    <t xml:space="preserve">Q4 2025</t>
  </si>
  <si>
    <t xml:space="preserve">EMP1012</t>
  </si>
  <si>
    <t xml:space="preserve">Pooja Desai</t>
  </si>
  <si>
    <t xml:space="preserve">EMP1013</t>
  </si>
  <si>
    <t xml:space="preserve">Rahul Sharma</t>
  </si>
  <si>
    <t xml:space="preserve">Agile Fundamentals</t>
  </si>
  <si>
    <t xml:space="preserve">EMP1014</t>
  </si>
  <si>
    <t xml:space="preserve">Shreya Kapoor</t>
  </si>
  <si>
    <t xml:space="preserve">Supply Chain</t>
  </si>
  <si>
    <t xml:space="preserve">EMP1015</t>
  </si>
  <si>
    <t xml:space="preserve">Amit Tiwari</t>
  </si>
  <si>
    <t xml:space="preserve">EMP1016</t>
  </si>
  <si>
    <t xml:space="preserve">Kavita Reddy</t>
  </si>
  <si>
    <t xml:space="preserve">EMP1017</t>
  </si>
  <si>
    <t xml:space="preserve">Suresh Naik</t>
  </si>
  <si>
    <t xml:space="preserve">EMP1018</t>
  </si>
  <si>
    <t xml:space="preserve">Anjali Singh</t>
  </si>
  <si>
    <t xml:space="preserve">EMP1019</t>
  </si>
  <si>
    <t xml:space="preserve">Deepak Malhotra</t>
  </si>
  <si>
    <t xml:space="preserve">EMP1020</t>
  </si>
  <si>
    <t xml:space="preserve">Ritu Bansal</t>
  </si>
  <si>
    <t xml:space="preserve">EMP1021</t>
  </si>
  <si>
    <t xml:space="preserve">Sanjay Dubey</t>
  </si>
  <si>
    <t xml:space="preserve">Not Started</t>
  </si>
  <si>
    <t xml:space="preserve">EMP1022</t>
  </si>
  <si>
    <t xml:space="preserve">Nisha Agarwal</t>
  </si>
  <si>
    <t xml:space="preserve">EMP1023</t>
  </si>
  <si>
    <t xml:space="preserve">Tarun Chopra</t>
  </si>
  <si>
    <t xml:space="preserve">EMP1024</t>
  </si>
  <si>
    <t xml:space="preserve">Pallavi Mishra</t>
  </si>
  <si>
    <t xml:space="preserve">EMP1025</t>
  </si>
  <si>
    <t xml:space="preserve">Yash Soni</t>
  </si>
  <si>
    <t xml:space="preserve">Project Management 101</t>
  </si>
  <si>
    <t xml:space="preserve">Professional Dev</t>
  </si>
  <si>
    <t xml:space="preserve">EMP1026</t>
  </si>
  <si>
    <t xml:space="preserve">Swati Kulkarni</t>
  </si>
  <si>
    <t xml:space="preserve">EMP1027</t>
  </si>
  <si>
    <t xml:space="preserve">Manish Jain</t>
  </si>
  <si>
    <t xml:space="preserve">EMP1028</t>
  </si>
  <si>
    <t xml:space="preserve">Preeti Pandey</t>
  </si>
  <si>
    <t xml:space="preserve">EMP1029</t>
  </si>
  <si>
    <t xml:space="preserve">Aditya Bhatt</t>
  </si>
  <si>
    <t xml:space="preserve">EMP1030</t>
  </si>
  <si>
    <t xml:space="preserve">Smita Doshi</t>
  </si>
  <si>
    <t xml:space="preserve">EMP1031</t>
  </si>
  <si>
    <t xml:space="preserve">Rajat Saxena</t>
  </si>
  <si>
    <t xml:space="preserve">EMP1032</t>
  </si>
  <si>
    <t xml:space="preserve">Neelam Yadav</t>
  </si>
  <si>
    <t xml:space="preserve">EMP1033</t>
  </si>
  <si>
    <t xml:space="preserve">Gaurav Thakur</t>
  </si>
  <si>
    <t xml:space="preserve">EMP1034</t>
  </si>
  <si>
    <t xml:space="preserve">Sunita Choudhary</t>
  </si>
  <si>
    <t xml:space="preserve">EMP1035</t>
  </si>
  <si>
    <t xml:space="preserve">Vivek Bhatia</t>
  </si>
  <si>
    <t xml:space="preserve">EMP1036</t>
  </si>
  <si>
    <t xml:space="preserve">Rekha Shetty</t>
  </si>
  <si>
    <t xml:space="preserve">EMP1037</t>
  </si>
  <si>
    <t xml:space="preserve">Dinesh Patel</t>
  </si>
  <si>
    <t xml:space="preserve">Leadership Essentials</t>
  </si>
  <si>
    <t xml:space="preserve">Leadership</t>
  </si>
  <si>
    <t xml:space="preserve">EMP1038</t>
  </si>
  <si>
    <t xml:space="preserve">Usha Menon</t>
  </si>
  <si>
    <t xml:space="preserve">EMP1039</t>
  </si>
  <si>
    <t xml:space="preserve">Manoj Tripathi</t>
  </si>
  <si>
    <t xml:space="preserve">EMP1040</t>
  </si>
  <si>
    <t xml:space="preserve">Geeta Rangarajan</t>
  </si>
  <si>
    <t xml:space="preserve">Overdue</t>
  </si>
  <si>
    <t xml:space="preserve">EMP1041</t>
  </si>
  <si>
    <t xml:space="preserve">Vinod Lal</t>
  </si>
  <si>
    <t xml:space="preserve">EMP1042</t>
  </si>
  <si>
    <t xml:space="preserve">Harini Subramanian</t>
  </si>
  <si>
    <t xml:space="preserve">EMP1043</t>
  </si>
  <si>
    <t xml:space="preserve">Prakash Dutta</t>
  </si>
  <si>
    <t xml:space="preserve">EMP1044</t>
  </si>
  <si>
    <t xml:space="preserve">Lakshmi Nambiar</t>
  </si>
  <si>
    <t xml:space="preserve">EMP1045</t>
  </si>
  <si>
    <t xml:space="preserve">Alok Srivastava</t>
  </si>
  <si>
    <t xml:space="preserve">Power BI Basics</t>
  </si>
  <si>
    <t xml:space="preserve">EMP1046</t>
  </si>
  <si>
    <t xml:space="preserve">Chandni Khanna</t>
  </si>
  <si>
    <t xml:space="preserve">EMP1047</t>
  </si>
  <si>
    <t xml:space="preserve">Rajan Pillai</t>
  </si>
  <si>
    <t xml:space="preserve">EMP1048</t>
  </si>
  <si>
    <t xml:space="preserve">Sudha Chatterjee</t>
  </si>
  <si>
    <t xml:space="preserve">EMP1049</t>
  </si>
  <si>
    <t xml:space="preserve">Hemant Bhattacharya</t>
  </si>
  <si>
    <t xml:space="preserve">EMP1050</t>
  </si>
  <si>
    <t xml:space="preserve">Isha Mittal</t>
  </si>
  <si>
    <t xml:space="preserve">📊 Learning Analytics Summary Dashboard</t>
  </si>
  <si>
    <t xml:space="preserve">KPI</t>
  </si>
  <si>
    <t xml:space="preserve">Value</t>
  </si>
  <si>
    <t xml:space="preserve">Total Learners</t>
  </si>
  <si>
    <t xml:space="preserve">Total Courses Assigned</t>
  </si>
  <si>
    <t xml:space="preserve">Completion Rate %</t>
  </si>
  <si>
    <t xml:space="preserve">SLA Met %</t>
  </si>
  <si>
    <t xml:space="preserve">Avg Score %</t>
  </si>
  <si>
    <t xml:space="preserve">Overdue Courses</t>
  </si>
  <si>
    <t xml:space="preserve">Avg Time Spent (Hrs)</t>
  </si>
  <si>
    <t xml:space="preserve">APAC Learners</t>
  </si>
  <si>
    <t xml:space="preserve">EMEA Learners</t>
  </si>
  <si>
    <t xml:space="preserve">Department Breakdown</t>
  </si>
  <si>
    <t xml:space="preserve">Total Assigned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</si>
</sst>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7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AF0FB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EAF0FB"/>
      </patternFill>
    </fill>
    <fill>
      <patternFill patternType="solid">
        <fgColor rgb="FFEAF0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E2EFDA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18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3" t="n">
        <v>45798</v>
      </c>
      <c r="H2" s="3" t="n">
        <v>45802</v>
      </c>
      <c r="I2" s="2" t="s">
        <v>22</v>
      </c>
      <c r="J2" s="2" t="n">
        <v>94</v>
      </c>
      <c r="K2" s="2" t="n">
        <v>2.1</v>
      </c>
      <c r="L2" s="2" t="n">
        <v>14</v>
      </c>
      <c r="M2" s="2" t="n">
        <v>4</v>
      </c>
      <c r="N2" s="2" t="s">
        <v>23</v>
      </c>
      <c r="O2" s="2" t="s">
        <v>24</v>
      </c>
      <c r="P2" s="2" t="s">
        <v>25</v>
      </c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28</v>
      </c>
      <c r="D3" s="2" t="s">
        <v>19</v>
      </c>
      <c r="E3" s="2" t="s">
        <v>29</v>
      </c>
      <c r="F3" s="2" t="s">
        <v>30</v>
      </c>
      <c r="G3" s="3" t="n">
        <v>45769</v>
      </c>
      <c r="H3" s="3" t="n">
        <v>45770</v>
      </c>
      <c r="I3" s="2" t="s">
        <v>22</v>
      </c>
      <c r="J3" s="2" t="n">
        <v>95</v>
      </c>
      <c r="K3" s="2" t="n">
        <v>2.8</v>
      </c>
      <c r="L3" s="2" t="n">
        <v>14</v>
      </c>
      <c r="M3" s="2" t="n">
        <v>1</v>
      </c>
      <c r="N3" s="2" t="s">
        <v>23</v>
      </c>
      <c r="O3" s="2" t="s">
        <v>31</v>
      </c>
      <c r="P3" s="2" t="s">
        <v>25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21</v>
      </c>
      <c r="G4" s="3" t="n">
        <v>45800</v>
      </c>
      <c r="H4" s="3" t="n">
        <v>45803</v>
      </c>
      <c r="I4" s="2" t="s">
        <v>22</v>
      </c>
      <c r="J4" s="2" t="n">
        <v>87</v>
      </c>
      <c r="K4" s="2" t="n">
        <v>3.7</v>
      </c>
      <c r="L4" s="2" t="n">
        <v>7</v>
      </c>
      <c r="M4" s="2" t="n">
        <v>3</v>
      </c>
      <c r="N4" s="2" t="s">
        <v>23</v>
      </c>
      <c r="O4" s="2" t="s">
        <v>37</v>
      </c>
      <c r="P4" s="2" t="s">
        <v>25</v>
      </c>
    </row>
    <row r="5" customFormat="false" ht="15" hidden="false" customHeight="false" outlineLevel="0" collapsed="false">
      <c r="A5" s="2" t="s">
        <v>38</v>
      </c>
      <c r="B5" s="2" t="s">
        <v>39</v>
      </c>
      <c r="C5" s="2" t="s">
        <v>40</v>
      </c>
      <c r="D5" s="2" t="s">
        <v>19</v>
      </c>
      <c r="E5" s="2" t="s">
        <v>29</v>
      </c>
      <c r="F5" s="2" t="s">
        <v>30</v>
      </c>
      <c r="G5" s="3" t="n">
        <v>45705</v>
      </c>
      <c r="H5" s="3" t="n">
        <v>45728</v>
      </c>
      <c r="I5" s="2" t="s">
        <v>22</v>
      </c>
      <c r="J5" s="2" t="n">
        <v>98</v>
      </c>
      <c r="K5" s="2" t="n">
        <v>3.2</v>
      </c>
      <c r="L5" s="2" t="n">
        <v>30</v>
      </c>
      <c r="M5" s="2" t="n">
        <v>23</v>
      </c>
      <c r="N5" s="2" t="s">
        <v>23</v>
      </c>
      <c r="O5" s="2" t="s">
        <v>41</v>
      </c>
      <c r="P5" s="2" t="s">
        <v>42</v>
      </c>
    </row>
    <row r="6" customFormat="false" ht="15" hidden="false" customHeight="false" outlineLevel="0" collapsed="false">
      <c r="A6" s="2" t="s">
        <v>43</v>
      </c>
      <c r="B6" s="2" t="s">
        <v>44</v>
      </c>
      <c r="C6" s="2" t="s">
        <v>18</v>
      </c>
      <c r="D6" s="2" t="s">
        <v>35</v>
      </c>
      <c r="E6" s="2" t="s">
        <v>45</v>
      </c>
      <c r="F6" s="2" t="s">
        <v>46</v>
      </c>
      <c r="G6" s="3" t="n">
        <v>45721</v>
      </c>
      <c r="H6" s="3" t="n">
        <v>45740</v>
      </c>
      <c r="I6" s="2" t="s">
        <v>22</v>
      </c>
      <c r="J6" s="2" t="n">
        <v>100</v>
      </c>
      <c r="K6" s="2" t="n">
        <v>5.5</v>
      </c>
      <c r="L6" s="2" t="n">
        <v>30</v>
      </c>
      <c r="M6" s="2" t="n">
        <v>19</v>
      </c>
      <c r="N6" s="2" t="s">
        <v>23</v>
      </c>
      <c r="O6" s="2" t="s">
        <v>47</v>
      </c>
      <c r="P6" s="2" t="s">
        <v>42</v>
      </c>
    </row>
    <row r="7" customFormat="false" ht="15" hidden="false" customHeight="false" outlineLevel="0" collapsed="false">
      <c r="A7" s="2" t="s">
        <v>48</v>
      </c>
      <c r="B7" s="2" t="s">
        <v>49</v>
      </c>
      <c r="C7" s="2" t="s">
        <v>50</v>
      </c>
      <c r="D7" s="2" t="s">
        <v>35</v>
      </c>
      <c r="E7" s="2" t="s">
        <v>29</v>
      </c>
      <c r="F7" s="2" t="s">
        <v>30</v>
      </c>
      <c r="G7" s="3" t="n">
        <v>45681</v>
      </c>
      <c r="H7" s="3" t="n">
        <v>45684</v>
      </c>
      <c r="I7" s="2" t="s">
        <v>22</v>
      </c>
      <c r="J7" s="2" t="n">
        <v>74</v>
      </c>
      <c r="K7" s="2" t="n">
        <v>7.1</v>
      </c>
      <c r="L7" s="2" t="n">
        <v>14</v>
      </c>
      <c r="M7" s="2" t="n">
        <v>3</v>
      </c>
      <c r="N7" s="2" t="s">
        <v>23</v>
      </c>
      <c r="O7" s="2" t="s">
        <v>24</v>
      </c>
      <c r="P7" s="2" t="s">
        <v>42</v>
      </c>
    </row>
    <row r="8" customFormat="false" ht="15" hidden="false" customHeight="false" outlineLevel="0" collapsed="false">
      <c r="A8" s="2" t="s">
        <v>51</v>
      </c>
      <c r="B8" s="2" t="s">
        <v>52</v>
      </c>
      <c r="C8" s="2" t="s">
        <v>53</v>
      </c>
      <c r="D8" s="2" t="s">
        <v>35</v>
      </c>
      <c r="E8" s="2" t="s">
        <v>54</v>
      </c>
      <c r="F8" s="2" t="s">
        <v>46</v>
      </c>
      <c r="G8" s="3" t="n">
        <v>45741</v>
      </c>
      <c r="H8" s="3" t="n">
        <v>45763</v>
      </c>
      <c r="I8" s="2" t="s">
        <v>22</v>
      </c>
      <c r="J8" s="2" t="n">
        <v>77</v>
      </c>
      <c r="K8" s="2" t="n">
        <v>6.1</v>
      </c>
      <c r="L8" s="2" t="n">
        <v>21</v>
      </c>
      <c r="M8" s="2" t="n">
        <v>22</v>
      </c>
      <c r="N8" s="2" t="s">
        <v>55</v>
      </c>
      <c r="O8" s="2" t="s">
        <v>41</v>
      </c>
      <c r="P8" s="2" t="s">
        <v>42</v>
      </c>
    </row>
    <row r="9" customFormat="false" ht="15" hidden="false" customHeight="false" outlineLevel="0" collapsed="false">
      <c r="A9" s="2" t="s">
        <v>56</v>
      </c>
      <c r="B9" s="2" t="s">
        <v>57</v>
      </c>
      <c r="C9" s="2" t="s">
        <v>50</v>
      </c>
      <c r="D9" s="2" t="s">
        <v>35</v>
      </c>
      <c r="E9" s="2" t="s">
        <v>45</v>
      </c>
      <c r="F9" s="2" t="s">
        <v>46</v>
      </c>
      <c r="G9" s="3" t="n">
        <v>45783</v>
      </c>
      <c r="H9" s="3" t="n">
        <v>45792</v>
      </c>
      <c r="I9" s="2" t="s">
        <v>22</v>
      </c>
      <c r="J9" s="2" t="n">
        <v>100</v>
      </c>
      <c r="K9" s="2" t="n">
        <v>6</v>
      </c>
      <c r="L9" s="2" t="n">
        <v>14</v>
      </c>
      <c r="M9" s="2" t="n">
        <v>9</v>
      </c>
      <c r="N9" s="2" t="s">
        <v>23</v>
      </c>
      <c r="O9" s="2" t="s">
        <v>37</v>
      </c>
      <c r="P9" s="2" t="s">
        <v>25</v>
      </c>
    </row>
    <row r="10" customFormat="false" ht="15" hidden="false" customHeight="false" outlineLevel="0" collapsed="false">
      <c r="A10" s="4" t="s">
        <v>58</v>
      </c>
      <c r="B10" s="4" t="s">
        <v>59</v>
      </c>
      <c r="C10" s="4" t="s">
        <v>18</v>
      </c>
      <c r="D10" s="4" t="s">
        <v>19</v>
      </c>
      <c r="E10" s="4" t="s">
        <v>20</v>
      </c>
      <c r="F10" s="4" t="s">
        <v>21</v>
      </c>
      <c r="G10" s="5" t="n">
        <v>45775</v>
      </c>
      <c r="H10" s="4"/>
      <c r="I10" s="4" t="s">
        <v>60</v>
      </c>
      <c r="J10" s="4"/>
      <c r="K10" s="4" t="n">
        <v>1.4</v>
      </c>
      <c r="L10" s="4" t="n">
        <v>7</v>
      </c>
      <c r="M10" s="4" t="n">
        <v>4</v>
      </c>
      <c r="N10" s="4" t="s">
        <v>55</v>
      </c>
      <c r="O10" s="4" t="s">
        <v>37</v>
      </c>
      <c r="P10" s="4" t="s">
        <v>25</v>
      </c>
    </row>
    <row r="11" customFormat="false" ht="15" hidden="false" customHeight="false" outlineLevel="0" collapsed="false">
      <c r="A11" s="4" t="s">
        <v>61</v>
      </c>
      <c r="B11" s="4" t="s">
        <v>62</v>
      </c>
      <c r="C11" s="4" t="s">
        <v>50</v>
      </c>
      <c r="D11" s="4" t="s">
        <v>19</v>
      </c>
      <c r="E11" s="4" t="s">
        <v>63</v>
      </c>
      <c r="F11" s="4" t="s">
        <v>21</v>
      </c>
      <c r="G11" s="5" t="n">
        <v>45913</v>
      </c>
      <c r="H11" s="4"/>
      <c r="I11" s="4" t="s">
        <v>60</v>
      </c>
      <c r="J11" s="4"/>
      <c r="K11" s="4" t="n">
        <v>2.1</v>
      </c>
      <c r="L11" s="4" t="n">
        <v>30</v>
      </c>
      <c r="M11" s="4" t="n">
        <v>21</v>
      </c>
      <c r="N11" s="4" t="s">
        <v>55</v>
      </c>
      <c r="O11" s="4" t="s">
        <v>47</v>
      </c>
      <c r="P11" s="4" t="s">
        <v>64</v>
      </c>
    </row>
    <row r="12" customFormat="false" ht="15" hidden="false" customHeight="false" outlineLevel="0" collapsed="false">
      <c r="A12" s="2" t="s">
        <v>65</v>
      </c>
      <c r="B12" s="2" t="s">
        <v>66</v>
      </c>
      <c r="C12" s="2" t="s">
        <v>40</v>
      </c>
      <c r="D12" s="2" t="s">
        <v>35</v>
      </c>
      <c r="E12" s="2" t="s">
        <v>45</v>
      </c>
      <c r="F12" s="2" t="s">
        <v>46</v>
      </c>
      <c r="G12" s="3" t="n">
        <v>45933</v>
      </c>
      <c r="H12" s="3" t="n">
        <v>45947</v>
      </c>
      <c r="I12" s="2" t="s">
        <v>22</v>
      </c>
      <c r="J12" s="2" t="n">
        <v>97</v>
      </c>
      <c r="K12" s="2" t="n">
        <v>4.1</v>
      </c>
      <c r="L12" s="2" t="n">
        <v>21</v>
      </c>
      <c r="M12" s="2" t="n">
        <v>14</v>
      </c>
      <c r="N12" s="2" t="s">
        <v>23</v>
      </c>
      <c r="O12" s="2" t="s">
        <v>37</v>
      </c>
      <c r="P12" s="2" t="s">
        <v>67</v>
      </c>
    </row>
    <row r="13" customFormat="false" ht="15" hidden="false" customHeight="false" outlineLevel="0" collapsed="false">
      <c r="A13" s="4" t="s">
        <v>68</v>
      </c>
      <c r="B13" s="4" t="s">
        <v>69</v>
      </c>
      <c r="C13" s="4" t="s">
        <v>40</v>
      </c>
      <c r="D13" s="4" t="s">
        <v>19</v>
      </c>
      <c r="E13" s="4" t="s">
        <v>36</v>
      </c>
      <c r="F13" s="4" t="s">
        <v>21</v>
      </c>
      <c r="G13" s="5" t="n">
        <v>45704</v>
      </c>
      <c r="H13" s="4"/>
      <c r="I13" s="4" t="s">
        <v>60</v>
      </c>
      <c r="J13" s="4"/>
      <c r="K13" s="4" t="n">
        <v>2.7</v>
      </c>
      <c r="L13" s="4" t="n">
        <v>7</v>
      </c>
      <c r="M13" s="4" t="n">
        <v>2</v>
      </c>
      <c r="N13" s="4" t="s">
        <v>55</v>
      </c>
      <c r="O13" s="4" t="s">
        <v>24</v>
      </c>
      <c r="P13" s="4" t="s">
        <v>42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50</v>
      </c>
      <c r="D14" s="2" t="s">
        <v>19</v>
      </c>
      <c r="E14" s="2" t="s">
        <v>72</v>
      </c>
      <c r="F14" s="2" t="s">
        <v>30</v>
      </c>
      <c r="G14" s="3" t="n">
        <v>45853</v>
      </c>
      <c r="H14" s="3" t="n">
        <v>45854</v>
      </c>
      <c r="I14" s="2" t="s">
        <v>22</v>
      </c>
      <c r="J14" s="2" t="n">
        <v>67</v>
      </c>
      <c r="K14" s="2" t="n">
        <v>5.9</v>
      </c>
      <c r="L14" s="2" t="n">
        <v>30</v>
      </c>
      <c r="M14" s="2" t="n">
        <v>1</v>
      </c>
      <c r="N14" s="2" t="s">
        <v>23</v>
      </c>
      <c r="O14" s="2" t="s">
        <v>31</v>
      </c>
      <c r="P14" s="2" t="s">
        <v>64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19</v>
      </c>
      <c r="E15" s="2" t="s">
        <v>54</v>
      </c>
      <c r="F15" s="2" t="s">
        <v>46</v>
      </c>
      <c r="G15" s="3" t="n">
        <v>45715</v>
      </c>
      <c r="H15" s="3" t="n">
        <v>45730</v>
      </c>
      <c r="I15" s="2" t="s">
        <v>22</v>
      </c>
      <c r="J15" s="2" t="n">
        <v>60</v>
      </c>
      <c r="K15" s="2" t="n">
        <v>7.7</v>
      </c>
      <c r="L15" s="2" t="n">
        <v>21</v>
      </c>
      <c r="M15" s="2" t="n">
        <v>15</v>
      </c>
      <c r="N15" s="2" t="s">
        <v>23</v>
      </c>
      <c r="O15" s="2" t="s">
        <v>47</v>
      </c>
      <c r="P15" s="2" t="s">
        <v>42</v>
      </c>
    </row>
    <row r="16" customFormat="false" ht="15" hidden="false" customHeight="false" outlineLevel="0" collapsed="false">
      <c r="A16" s="4" t="s">
        <v>76</v>
      </c>
      <c r="B16" s="4" t="s">
        <v>77</v>
      </c>
      <c r="C16" s="4" t="s">
        <v>50</v>
      </c>
      <c r="D16" s="4" t="s">
        <v>35</v>
      </c>
      <c r="E16" s="4" t="s">
        <v>45</v>
      </c>
      <c r="F16" s="4" t="s">
        <v>46</v>
      </c>
      <c r="G16" s="5" t="n">
        <v>45712</v>
      </c>
      <c r="H16" s="4"/>
      <c r="I16" s="4" t="s">
        <v>60</v>
      </c>
      <c r="J16" s="4"/>
      <c r="K16" s="4" t="n">
        <v>2.6</v>
      </c>
      <c r="L16" s="4" t="n">
        <v>21</v>
      </c>
      <c r="M16" s="4" t="n">
        <v>17</v>
      </c>
      <c r="N16" s="4" t="s">
        <v>55</v>
      </c>
      <c r="O16" s="4" t="s">
        <v>37</v>
      </c>
      <c r="P16" s="4" t="s">
        <v>42</v>
      </c>
    </row>
    <row r="17" customFormat="false" ht="15" hidden="false" customHeight="false" outlineLevel="0" collapsed="false">
      <c r="A17" s="2" t="s">
        <v>78</v>
      </c>
      <c r="B17" s="2" t="s">
        <v>79</v>
      </c>
      <c r="C17" s="2" t="s">
        <v>53</v>
      </c>
      <c r="D17" s="2" t="s">
        <v>35</v>
      </c>
      <c r="E17" s="2" t="s">
        <v>45</v>
      </c>
      <c r="F17" s="2" t="s">
        <v>46</v>
      </c>
      <c r="G17" s="3" t="n">
        <v>45929</v>
      </c>
      <c r="H17" s="3" t="n">
        <v>45937</v>
      </c>
      <c r="I17" s="2" t="s">
        <v>22</v>
      </c>
      <c r="J17" s="2" t="n">
        <v>61</v>
      </c>
      <c r="K17" s="2" t="n">
        <v>2.2</v>
      </c>
      <c r="L17" s="2" t="n">
        <v>7</v>
      </c>
      <c r="M17" s="2" t="n">
        <v>8</v>
      </c>
      <c r="N17" s="2" t="s">
        <v>55</v>
      </c>
      <c r="O17" s="2" t="s">
        <v>47</v>
      </c>
      <c r="P17" s="2" t="s">
        <v>64</v>
      </c>
    </row>
    <row r="18" customFormat="false" ht="15" hidden="false" customHeight="false" outlineLevel="0" collapsed="false">
      <c r="A18" s="4" t="s">
        <v>80</v>
      </c>
      <c r="B18" s="4" t="s">
        <v>81</v>
      </c>
      <c r="C18" s="4" t="s">
        <v>75</v>
      </c>
      <c r="D18" s="4" t="s">
        <v>19</v>
      </c>
      <c r="E18" s="4" t="s">
        <v>63</v>
      </c>
      <c r="F18" s="4" t="s">
        <v>21</v>
      </c>
      <c r="G18" s="5" t="n">
        <v>45687</v>
      </c>
      <c r="H18" s="4"/>
      <c r="I18" s="4" t="s">
        <v>60</v>
      </c>
      <c r="J18" s="4"/>
      <c r="K18" s="4" t="n">
        <v>0.8</v>
      </c>
      <c r="L18" s="4" t="n">
        <v>14</v>
      </c>
      <c r="M18" s="4" t="n">
        <v>2</v>
      </c>
      <c r="N18" s="4" t="s">
        <v>55</v>
      </c>
      <c r="O18" s="4" t="s">
        <v>24</v>
      </c>
      <c r="P18" s="4" t="s">
        <v>42</v>
      </c>
    </row>
    <row r="19" customFormat="false" ht="15" hidden="false" customHeight="false" outlineLevel="0" collapsed="false">
      <c r="A19" s="2" t="s">
        <v>82</v>
      </c>
      <c r="B19" s="2" t="s">
        <v>83</v>
      </c>
      <c r="C19" s="2" t="s">
        <v>75</v>
      </c>
      <c r="D19" s="2" t="s">
        <v>19</v>
      </c>
      <c r="E19" s="2" t="s">
        <v>45</v>
      </c>
      <c r="F19" s="2" t="s">
        <v>46</v>
      </c>
      <c r="G19" s="3" t="n">
        <v>45722</v>
      </c>
      <c r="H19" s="3" t="n">
        <v>45740</v>
      </c>
      <c r="I19" s="2" t="s">
        <v>22</v>
      </c>
      <c r="J19" s="2" t="n">
        <v>70</v>
      </c>
      <c r="K19" s="2" t="n">
        <v>3.2</v>
      </c>
      <c r="L19" s="2" t="n">
        <v>14</v>
      </c>
      <c r="M19" s="2" t="n">
        <v>18</v>
      </c>
      <c r="N19" s="2" t="s">
        <v>55</v>
      </c>
      <c r="O19" s="2" t="s">
        <v>31</v>
      </c>
      <c r="P19" s="2" t="s">
        <v>42</v>
      </c>
    </row>
    <row r="20" customFormat="false" ht="15" hidden="false" customHeight="false" outlineLevel="0" collapsed="false">
      <c r="A20" s="2" t="s">
        <v>84</v>
      </c>
      <c r="B20" s="2" t="s">
        <v>85</v>
      </c>
      <c r="C20" s="2" t="s">
        <v>34</v>
      </c>
      <c r="D20" s="2" t="s">
        <v>35</v>
      </c>
      <c r="E20" s="2" t="s">
        <v>45</v>
      </c>
      <c r="F20" s="2" t="s">
        <v>46</v>
      </c>
      <c r="G20" s="3" t="n">
        <v>45760</v>
      </c>
      <c r="H20" s="3" t="n">
        <v>45782</v>
      </c>
      <c r="I20" s="2" t="s">
        <v>22</v>
      </c>
      <c r="J20" s="2" t="n">
        <v>83</v>
      </c>
      <c r="K20" s="2" t="n">
        <v>4.3</v>
      </c>
      <c r="L20" s="2" t="n">
        <v>21</v>
      </c>
      <c r="M20" s="2" t="n">
        <v>22</v>
      </c>
      <c r="N20" s="2" t="s">
        <v>55</v>
      </c>
      <c r="O20" s="2" t="s">
        <v>31</v>
      </c>
      <c r="P20" s="2" t="s">
        <v>25</v>
      </c>
    </row>
    <row r="21" customFormat="false" ht="15" hidden="false" customHeight="false" outlineLevel="0" collapsed="false">
      <c r="A21" s="2" t="s">
        <v>86</v>
      </c>
      <c r="B21" s="2" t="s">
        <v>87</v>
      </c>
      <c r="C21" s="2" t="s">
        <v>34</v>
      </c>
      <c r="D21" s="2" t="s">
        <v>19</v>
      </c>
      <c r="E21" s="2" t="s">
        <v>63</v>
      </c>
      <c r="F21" s="2" t="s">
        <v>21</v>
      </c>
      <c r="G21" s="3" t="n">
        <v>45773</v>
      </c>
      <c r="H21" s="3" t="n">
        <v>45783</v>
      </c>
      <c r="I21" s="2" t="s">
        <v>22</v>
      </c>
      <c r="J21" s="2" t="n">
        <v>95</v>
      </c>
      <c r="K21" s="2" t="n">
        <v>3</v>
      </c>
      <c r="L21" s="2" t="n">
        <v>7</v>
      </c>
      <c r="M21" s="2" t="n">
        <v>10</v>
      </c>
      <c r="N21" s="2" t="s">
        <v>55</v>
      </c>
      <c r="O21" s="2" t="s">
        <v>37</v>
      </c>
      <c r="P21" s="2" t="s">
        <v>25</v>
      </c>
    </row>
    <row r="22" customFormat="false" ht="15" hidden="false" customHeight="false" outlineLevel="0" collapsed="false">
      <c r="A22" s="6" t="s">
        <v>88</v>
      </c>
      <c r="B22" s="6" t="s">
        <v>89</v>
      </c>
      <c r="C22" s="6" t="s">
        <v>28</v>
      </c>
      <c r="D22" s="6" t="s">
        <v>19</v>
      </c>
      <c r="E22" s="6" t="s">
        <v>20</v>
      </c>
      <c r="F22" s="6" t="s">
        <v>21</v>
      </c>
      <c r="G22" s="7" t="n">
        <v>45775</v>
      </c>
      <c r="H22" s="6"/>
      <c r="I22" s="6" t="s">
        <v>90</v>
      </c>
      <c r="J22" s="6"/>
      <c r="K22" s="6" t="n">
        <v>0.7</v>
      </c>
      <c r="L22" s="6" t="n">
        <v>7</v>
      </c>
      <c r="M22" s="6" t="n">
        <v>3</v>
      </c>
      <c r="N22" s="6" t="s">
        <v>55</v>
      </c>
      <c r="O22" s="6" t="s">
        <v>37</v>
      </c>
      <c r="P22" s="6" t="s">
        <v>25</v>
      </c>
    </row>
    <row r="23" customFormat="false" ht="15" hidden="false" customHeight="false" outlineLevel="0" collapsed="false">
      <c r="A23" s="2" t="s">
        <v>91</v>
      </c>
      <c r="B23" s="2" t="s">
        <v>92</v>
      </c>
      <c r="C23" s="2" t="s">
        <v>53</v>
      </c>
      <c r="D23" s="2" t="s">
        <v>35</v>
      </c>
      <c r="E23" s="2" t="s">
        <v>63</v>
      </c>
      <c r="F23" s="2" t="s">
        <v>21</v>
      </c>
      <c r="G23" s="3" t="n">
        <v>45934</v>
      </c>
      <c r="H23" s="3" t="n">
        <v>45953</v>
      </c>
      <c r="I23" s="2" t="s">
        <v>22</v>
      </c>
      <c r="J23" s="2" t="n">
        <v>96</v>
      </c>
      <c r="K23" s="2" t="n">
        <v>4.6</v>
      </c>
      <c r="L23" s="2" t="n">
        <v>14</v>
      </c>
      <c r="M23" s="2" t="n">
        <v>19</v>
      </c>
      <c r="N23" s="2" t="s">
        <v>55</v>
      </c>
      <c r="O23" s="2" t="s">
        <v>24</v>
      </c>
      <c r="P23" s="2" t="s">
        <v>67</v>
      </c>
    </row>
    <row r="24" customFormat="false" ht="15" hidden="false" customHeight="false" outlineLevel="0" collapsed="false">
      <c r="A24" s="2" t="s">
        <v>93</v>
      </c>
      <c r="B24" s="2" t="s">
        <v>94</v>
      </c>
      <c r="C24" s="2" t="s">
        <v>75</v>
      </c>
      <c r="D24" s="2" t="s">
        <v>35</v>
      </c>
      <c r="E24" s="2" t="s">
        <v>63</v>
      </c>
      <c r="F24" s="2" t="s">
        <v>21</v>
      </c>
      <c r="G24" s="3" t="n">
        <v>45706</v>
      </c>
      <c r="H24" s="3" t="n">
        <v>45712</v>
      </c>
      <c r="I24" s="2" t="s">
        <v>22</v>
      </c>
      <c r="J24" s="2" t="n">
        <v>87</v>
      </c>
      <c r="K24" s="2" t="n">
        <v>4.2</v>
      </c>
      <c r="L24" s="2" t="n">
        <v>7</v>
      </c>
      <c r="M24" s="2" t="n">
        <v>6</v>
      </c>
      <c r="N24" s="2" t="s">
        <v>23</v>
      </c>
      <c r="O24" s="2" t="s">
        <v>41</v>
      </c>
      <c r="P24" s="2" t="s">
        <v>42</v>
      </c>
    </row>
    <row r="25" customFormat="false" ht="15" hidden="false" customHeight="false" outlineLevel="0" collapsed="false">
      <c r="A25" s="4" t="s">
        <v>95</v>
      </c>
      <c r="B25" s="4" t="s">
        <v>96</v>
      </c>
      <c r="C25" s="4" t="s">
        <v>18</v>
      </c>
      <c r="D25" s="4" t="s">
        <v>19</v>
      </c>
      <c r="E25" s="4" t="s">
        <v>20</v>
      </c>
      <c r="F25" s="4" t="s">
        <v>21</v>
      </c>
      <c r="G25" s="5" t="n">
        <v>45864</v>
      </c>
      <c r="H25" s="4"/>
      <c r="I25" s="4" t="s">
        <v>60</v>
      </c>
      <c r="J25" s="4"/>
      <c r="K25" s="4" t="n">
        <v>1.4</v>
      </c>
      <c r="L25" s="4" t="n">
        <v>21</v>
      </c>
      <c r="M25" s="4" t="n">
        <v>4</v>
      </c>
      <c r="N25" s="4" t="s">
        <v>55</v>
      </c>
      <c r="O25" s="4" t="s">
        <v>37</v>
      </c>
      <c r="P25" s="4" t="s">
        <v>64</v>
      </c>
    </row>
    <row r="26" customFormat="false" ht="15" hidden="false" customHeight="false" outlineLevel="0" collapsed="false">
      <c r="A26" s="2" t="s">
        <v>97</v>
      </c>
      <c r="B26" s="2" t="s">
        <v>98</v>
      </c>
      <c r="C26" s="2" t="s">
        <v>50</v>
      </c>
      <c r="D26" s="2" t="s">
        <v>35</v>
      </c>
      <c r="E26" s="2" t="s">
        <v>99</v>
      </c>
      <c r="F26" s="2" t="s">
        <v>100</v>
      </c>
      <c r="G26" s="3" t="n">
        <v>45874</v>
      </c>
      <c r="H26" s="3" t="n">
        <v>45882</v>
      </c>
      <c r="I26" s="2" t="s">
        <v>22</v>
      </c>
      <c r="J26" s="2" t="n">
        <v>64</v>
      </c>
      <c r="K26" s="2" t="n">
        <v>4.4</v>
      </c>
      <c r="L26" s="2" t="n">
        <v>14</v>
      </c>
      <c r="M26" s="2" t="n">
        <v>8</v>
      </c>
      <c r="N26" s="2" t="s">
        <v>23</v>
      </c>
      <c r="O26" s="2" t="s">
        <v>31</v>
      </c>
      <c r="P26" s="2" t="s">
        <v>64</v>
      </c>
    </row>
    <row r="27" customFormat="false" ht="15" hidden="false" customHeight="false" outlineLevel="0" collapsed="false">
      <c r="A27" s="6" t="s">
        <v>101</v>
      </c>
      <c r="B27" s="6" t="s">
        <v>102</v>
      </c>
      <c r="C27" s="6" t="s">
        <v>28</v>
      </c>
      <c r="D27" s="6" t="s">
        <v>19</v>
      </c>
      <c r="E27" s="6" t="s">
        <v>45</v>
      </c>
      <c r="F27" s="6" t="s">
        <v>46</v>
      </c>
      <c r="G27" s="7" t="n">
        <v>45665</v>
      </c>
      <c r="H27" s="6"/>
      <c r="I27" s="6" t="s">
        <v>90</v>
      </c>
      <c r="J27" s="6"/>
      <c r="K27" s="6" t="n">
        <v>1.1</v>
      </c>
      <c r="L27" s="6" t="n">
        <v>7</v>
      </c>
      <c r="M27" s="6" t="n">
        <v>2</v>
      </c>
      <c r="N27" s="6" t="s">
        <v>55</v>
      </c>
      <c r="O27" s="6" t="s">
        <v>24</v>
      </c>
      <c r="P27" s="6" t="s">
        <v>42</v>
      </c>
    </row>
    <row r="28" customFormat="false" ht="15" hidden="false" customHeight="false" outlineLevel="0" collapsed="false">
      <c r="A28" s="2" t="s">
        <v>103</v>
      </c>
      <c r="B28" s="2" t="s">
        <v>104</v>
      </c>
      <c r="C28" s="2" t="s">
        <v>34</v>
      </c>
      <c r="D28" s="2" t="s">
        <v>35</v>
      </c>
      <c r="E28" s="2" t="s">
        <v>72</v>
      </c>
      <c r="F28" s="2" t="s">
        <v>30</v>
      </c>
      <c r="G28" s="3" t="n">
        <v>45688</v>
      </c>
      <c r="H28" s="3" t="n">
        <v>45701</v>
      </c>
      <c r="I28" s="2" t="s">
        <v>22</v>
      </c>
      <c r="J28" s="2" t="n">
        <v>76</v>
      </c>
      <c r="K28" s="2" t="n">
        <v>7.5</v>
      </c>
      <c r="L28" s="2" t="n">
        <v>14</v>
      </c>
      <c r="M28" s="2" t="n">
        <v>13</v>
      </c>
      <c r="N28" s="2" t="s">
        <v>23</v>
      </c>
      <c r="O28" s="2" t="s">
        <v>24</v>
      </c>
      <c r="P28" s="2" t="s">
        <v>42</v>
      </c>
    </row>
    <row r="29" customFormat="false" ht="15" hidden="false" customHeight="false" outlineLevel="0" collapsed="false">
      <c r="A29" s="2" t="s">
        <v>105</v>
      </c>
      <c r="B29" s="2" t="s">
        <v>106</v>
      </c>
      <c r="C29" s="2" t="s">
        <v>53</v>
      </c>
      <c r="D29" s="2" t="s">
        <v>35</v>
      </c>
      <c r="E29" s="2" t="s">
        <v>45</v>
      </c>
      <c r="F29" s="2" t="s">
        <v>46</v>
      </c>
      <c r="G29" s="3" t="n">
        <v>45907</v>
      </c>
      <c r="H29" s="3" t="n">
        <v>45914</v>
      </c>
      <c r="I29" s="2" t="s">
        <v>22</v>
      </c>
      <c r="J29" s="2" t="n">
        <v>63</v>
      </c>
      <c r="K29" s="2" t="n">
        <v>5.3</v>
      </c>
      <c r="L29" s="2" t="n">
        <v>14</v>
      </c>
      <c r="M29" s="2" t="n">
        <v>7</v>
      </c>
      <c r="N29" s="2" t="s">
        <v>23</v>
      </c>
      <c r="O29" s="2" t="s">
        <v>31</v>
      </c>
      <c r="P29" s="2" t="s">
        <v>64</v>
      </c>
    </row>
    <row r="30" customFormat="false" ht="15" hidden="false" customHeight="false" outlineLevel="0" collapsed="false">
      <c r="A30" s="2" t="s">
        <v>107</v>
      </c>
      <c r="B30" s="2" t="s">
        <v>108</v>
      </c>
      <c r="C30" s="2" t="s">
        <v>28</v>
      </c>
      <c r="D30" s="2" t="s">
        <v>19</v>
      </c>
      <c r="E30" s="2" t="s">
        <v>20</v>
      </c>
      <c r="F30" s="2" t="s">
        <v>21</v>
      </c>
      <c r="G30" s="3" t="n">
        <v>45683</v>
      </c>
      <c r="H30" s="3" t="n">
        <v>45717</v>
      </c>
      <c r="I30" s="2" t="s">
        <v>22</v>
      </c>
      <c r="J30" s="2" t="n">
        <v>70</v>
      </c>
      <c r="K30" s="2" t="n">
        <v>1.9</v>
      </c>
      <c r="L30" s="2" t="n">
        <v>30</v>
      </c>
      <c r="M30" s="2" t="n">
        <v>34</v>
      </c>
      <c r="N30" s="2" t="s">
        <v>55</v>
      </c>
      <c r="O30" s="2" t="s">
        <v>31</v>
      </c>
      <c r="P30" s="2" t="s">
        <v>42</v>
      </c>
    </row>
    <row r="31" customFormat="false" ht="15" hidden="false" customHeight="false" outlineLevel="0" collapsed="false">
      <c r="A31" s="2" t="s">
        <v>109</v>
      </c>
      <c r="B31" s="2" t="s">
        <v>110</v>
      </c>
      <c r="C31" s="2" t="s">
        <v>28</v>
      </c>
      <c r="D31" s="2" t="s">
        <v>35</v>
      </c>
      <c r="E31" s="2" t="s">
        <v>29</v>
      </c>
      <c r="F31" s="2" t="s">
        <v>30</v>
      </c>
      <c r="G31" s="3" t="n">
        <v>45692</v>
      </c>
      <c r="H31" s="3" t="n">
        <v>45711</v>
      </c>
      <c r="I31" s="2" t="s">
        <v>22</v>
      </c>
      <c r="J31" s="2" t="n">
        <v>75</v>
      </c>
      <c r="K31" s="2" t="n">
        <v>5.3</v>
      </c>
      <c r="L31" s="2" t="n">
        <v>14</v>
      </c>
      <c r="M31" s="2" t="n">
        <v>19</v>
      </c>
      <c r="N31" s="2" t="s">
        <v>55</v>
      </c>
      <c r="O31" s="2" t="s">
        <v>41</v>
      </c>
      <c r="P31" s="2" t="s">
        <v>42</v>
      </c>
    </row>
    <row r="32" customFormat="false" ht="15" hidden="false" customHeight="false" outlineLevel="0" collapsed="false">
      <c r="A32" s="6" t="s">
        <v>111</v>
      </c>
      <c r="B32" s="6" t="s">
        <v>112</v>
      </c>
      <c r="C32" s="6" t="s">
        <v>50</v>
      </c>
      <c r="D32" s="6" t="s">
        <v>19</v>
      </c>
      <c r="E32" s="6" t="s">
        <v>72</v>
      </c>
      <c r="F32" s="6" t="s">
        <v>30</v>
      </c>
      <c r="G32" s="7" t="n">
        <v>45956</v>
      </c>
      <c r="H32" s="6"/>
      <c r="I32" s="6" t="s">
        <v>90</v>
      </c>
      <c r="J32" s="6"/>
      <c r="K32" s="6" t="n">
        <v>2.8</v>
      </c>
      <c r="L32" s="6" t="n">
        <v>21</v>
      </c>
      <c r="M32" s="6" t="n">
        <v>7</v>
      </c>
      <c r="N32" s="6" t="s">
        <v>55</v>
      </c>
      <c r="O32" s="6" t="s">
        <v>47</v>
      </c>
      <c r="P32" s="6" t="s">
        <v>67</v>
      </c>
    </row>
    <row r="33" customFormat="false" ht="15" hidden="false" customHeight="false" outlineLevel="0" collapsed="false">
      <c r="A33" s="2" t="s">
        <v>113</v>
      </c>
      <c r="B33" s="2" t="s">
        <v>114</v>
      </c>
      <c r="C33" s="2" t="s">
        <v>40</v>
      </c>
      <c r="D33" s="2" t="s">
        <v>19</v>
      </c>
      <c r="E33" s="2" t="s">
        <v>72</v>
      </c>
      <c r="F33" s="2" t="s">
        <v>30</v>
      </c>
      <c r="G33" s="3" t="n">
        <v>45725</v>
      </c>
      <c r="H33" s="3" t="n">
        <v>45750</v>
      </c>
      <c r="I33" s="2" t="s">
        <v>22</v>
      </c>
      <c r="J33" s="2" t="n">
        <v>64</v>
      </c>
      <c r="K33" s="2" t="n">
        <v>1.6</v>
      </c>
      <c r="L33" s="2" t="n">
        <v>21</v>
      </c>
      <c r="M33" s="2" t="n">
        <v>25</v>
      </c>
      <c r="N33" s="2" t="s">
        <v>55</v>
      </c>
      <c r="O33" s="2" t="s">
        <v>31</v>
      </c>
      <c r="P33" s="2" t="s">
        <v>42</v>
      </c>
    </row>
    <row r="34" customFormat="false" ht="15" hidden="false" customHeight="false" outlineLevel="0" collapsed="false">
      <c r="A34" s="2" t="s">
        <v>115</v>
      </c>
      <c r="B34" s="2" t="s">
        <v>116</v>
      </c>
      <c r="C34" s="2" t="s">
        <v>50</v>
      </c>
      <c r="D34" s="2" t="s">
        <v>19</v>
      </c>
      <c r="E34" s="2" t="s">
        <v>29</v>
      </c>
      <c r="F34" s="2" t="s">
        <v>30</v>
      </c>
      <c r="G34" s="3" t="n">
        <v>45933</v>
      </c>
      <c r="H34" s="3" t="n">
        <v>45938</v>
      </c>
      <c r="I34" s="2" t="s">
        <v>22</v>
      </c>
      <c r="J34" s="2" t="n">
        <v>82</v>
      </c>
      <c r="K34" s="2" t="n">
        <v>7.2</v>
      </c>
      <c r="L34" s="2" t="n">
        <v>14</v>
      </c>
      <c r="M34" s="2" t="n">
        <v>5</v>
      </c>
      <c r="N34" s="2" t="s">
        <v>23</v>
      </c>
      <c r="O34" s="2" t="s">
        <v>37</v>
      </c>
      <c r="P34" s="2" t="s">
        <v>67</v>
      </c>
    </row>
    <row r="35" customFormat="false" ht="15" hidden="false" customHeight="false" outlineLevel="0" collapsed="false">
      <c r="A35" s="2" t="s">
        <v>117</v>
      </c>
      <c r="B35" s="2" t="s">
        <v>118</v>
      </c>
      <c r="C35" s="2" t="s">
        <v>53</v>
      </c>
      <c r="D35" s="2" t="s">
        <v>19</v>
      </c>
      <c r="E35" s="2" t="s">
        <v>99</v>
      </c>
      <c r="F35" s="2" t="s">
        <v>100</v>
      </c>
      <c r="G35" s="3" t="n">
        <v>45882</v>
      </c>
      <c r="H35" s="3" t="n">
        <v>45908</v>
      </c>
      <c r="I35" s="2" t="s">
        <v>22</v>
      </c>
      <c r="J35" s="2" t="n">
        <v>93</v>
      </c>
      <c r="K35" s="2" t="n">
        <v>1.6</v>
      </c>
      <c r="L35" s="2" t="n">
        <v>21</v>
      </c>
      <c r="M35" s="2" t="n">
        <v>26</v>
      </c>
      <c r="N35" s="2" t="s">
        <v>55</v>
      </c>
      <c r="O35" s="2" t="s">
        <v>31</v>
      </c>
      <c r="P35" s="2" t="s">
        <v>64</v>
      </c>
    </row>
    <row r="36" customFormat="false" ht="15" hidden="false" customHeight="false" outlineLevel="0" collapsed="false">
      <c r="A36" s="4" t="s">
        <v>119</v>
      </c>
      <c r="B36" s="4" t="s">
        <v>120</v>
      </c>
      <c r="C36" s="4" t="s">
        <v>53</v>
      </c>
      <c r="D36" s="4" t="s">
        <v>19</v>
      </c>
      <c r="E36" s="4" t="s">
        <v>99</v>
      </c>
      <c r="F36" s="4" t="s">
        <v>100</v>
      </c>
      <c r="G36" s="5" t="n">
        <v>45793</v>
      </c>
      <c r="H36" s="4"/>
      <c r="I36" s="4" t="s">
        <v>60</v>
      </c>
      <c r="J36" s="4"/>
      <c r="K36" s="4" t="n">
        <v>2.4</v>
      </c>
      <c r="L36" s="4" t="n">
        <v>7</v>
      </c>
      <c r="M36" s="4" t="n">
        <v>6</v>
      </c>
      <c r="N36" s="4" t="s">
        <v>55</v>
      </c>
      <c r="O36" s="4" t="s">
        <v>47</v>
      </c>
      <c r="P36" s="4" t="s">
        <v>25</v>
      </c>
    </row>
    <row r="37" customFormat="false" ht="15" hidden="false" customHeight="false" outlineLevel="0" collapsed="false">
      <c r="A37" s="2" t="s">
        <v>121</v>
      </c>
      <c r="B37" s="2" t="s">
        <v>122</v>
      </c>
      <c r="C37" s="2" t="s">
        <v>53</v>
      </c>
      <c r="D37" s="2" t="s">
        <v>19</v>
      </c>
      <c r="E37" s="2" t="s">
        <v>63</v>
      </c>
      <c r="F37" s="2" t="s">
        <v>21</v>
      </c>
      <c r="G37" s="3" t="n">
        <v>45833</v>
      </c>
      <c r="H37" s="3" t="n">
        <v>45842</v>
      </c>
      <c r="I37" s="2" t="s">
        <v>22</v>
      </c>
      <c r="J37" s="2" t="n">
        <v>92</v>
      </c>
      <c r="K37" s="2" t="n">
        <v>4.7</v>
      </c>
      <c r="L37" s="2" t="n">
        <v>14</v>
      </c>
      <c r="M37" s="2" t="n">
        <v>9</v>
      </c>
      <c r="N37" s="2" t="s">
        <v>23</v>
      </c>
      <c r="O37" s="2" t="s">
        <v>41</v>
      </c>
      <c r="P37" s="2" t="s">
        <v>25</v>
      </c>
    </row>
    <row r="38" customFormat="false" ht="15" hidden="false" customHeight="false" outlineLevel="0" collapsed="false">
      <c r="A38" s="2" t="s">
        <v>123</v>
      </c>
      <c r="B38" s="2" t="s">
        <v>124</v>
      </c>
      <c r="C38" s="2" t="s">
        <v>28</v>
      </c>
      <c r="D38" s="2" t="s">
        <v>35</v>
      </c>
      <c r="E38" s="2" t="s">
        <v>125</v>
      </c>
      <c r="F38" s="2" t="s">
        <v>126</v>
      </c>
      <c r="G38" s="3" t="n">
        <v>45680</v>
      </c>
      <c r="H38" s="3" t="n">
        <v>45683</v>
      </c>
      <c r="I38" s="2" t="s">
        <v>22</v>
      </c>
      <c r="J38" s="2" t="n">
        <v>100</v>
      </c>
      <c r="K38" s="2" t="n">
        <v>7.9</v>
      </c>
      <c r="L38" s="2" t="n">
        <v>7</v>
      </c>
      <c r="M38" s="2" t="n">
        <v>3</v>
      </c>
      <c r="N38" s="2" t="s">
        <v>23</v>
      </c>
      <c r="O38" s="2" t="s">
        <v>37</v>
      </c>
      <c r="P38" s="2" t="s">
        <v>42</v>
      </c>
    </row>
    <row r="39" customFormat="false" ht="15" hidden="false" customHeight="false" outlineLevel="0" collapsed="false">
      <c r="A39" s="2" t="s">
        <v>127</v>
      </c>
      <c r="B39" s="2" t="s">
        <v>128</v>
      </c>
      <c r="C39" s="2" t="s">
        <v>18</v>
      </c>
      <c r="D39" s="2" t="s">
        <v>35</v>
      </c>
      <c r="E39" s="2" t="s">
        <v>45</v>
      </c>
      <c r="F39" s="2" t="s">
        <v>46</v>
      </c>
      <c r="G39" s="3" t="n">
        <v>45876</v>
      </c>
      <c r="H39" s="3" t="n">
        <v>45888</v>
      </c>
      <c r="I39" s="2" t="s">
        <v>22</v>
      </c>
      <c r="J39" s="2" t="n">
        <v>69</v>
      </c>
      <c r="K39" s="2" t="n">
        <v>5</v>
      </c>
      <c r="L39" s="2" t="n">
        <v>7</v>
      </c>
      <c r="M39" s="2" t="n">
        <v>12</v>
      </c>
      <c r="N39" s="2" t="s">
        <v>55</v>
      </c>
      <c r="O39" s="2" t="s">
        <v>47</v>
      </c>
      <c r="P39" s="2" t="s">
        <v>64</v>
      </c>
    </row>
    <row r="40" customFormat="false" ht="15" hidden="false" customHeight="false" outlineLevel="0" collapsed="false">
      <c r="A40" s="2" t="s">
        <v>129</v>
      </c>
      <c r="B40" s="2" t="s">
        <v>130</v>
      </c>
      <c r="C40" s="2" t="s">
        <v>50</v>
      </c>
      <c r="D40" s="2" t="s">
        <v>19</v>
      </c>
      <c r="E40" s="2" t="s">
        <v>99</v>
      </c>
      <c r="F40" s="2" t="s">
        <v>100</v>
      </c>
      <c r="G40" s="3" t="n">
        <v>45878</v>
      </c>
      <c r="H40" s="3" t="n">
        <v>45890</v>
      </c>
      <c r="I40" s="2" t="s">
        <v>22</v>
      </c>
      <c r="J40" s="2" t="n">
        <v>62</v>
      </c>
      <c r="K40" s="2" t="n">
        <v>7.3</v>
      </c>
      <c r="L40" s="2" t="n">
        <v>14</v>
      </c>
      <c r="M40" s="2" t="n">
        <v>12</v>
      </c>
      <c r="N40" s="2" t="s">
        <v>23</v>
      </c>
      <c r="O40" s="2" t="s">
        <v>37</v>
      </c>
      <c r="P40" s="2" t="s">
        <v>64</v>
      </c>
    </row>
    <row r="41" customFormat="false" ht="15" hidden="false" customHeight="false" outlineLevel="0" collapsed="false">
      <c r="A41" s="8" t="s">
        <v>131</v>
      </c>
      <c r="B41" s="8" t="s">
        <v>132</v>
      </c>
      <c r="C41" s="8" t="s">
        <v>18</v>
      </c>
      <c r="D41" s="8" t="s">
        <v>35</v>
      </c>
      <c r="E41" s="8" t="s">
        <v>29</v>
      </c>
      <c r="F41" s="8" t="s">
        <v>30</v>
      </c>
      <c r="G41" s="9" t="n">
        <v>45839</v>
      </c>
      <c r="H41" s="8"/>
      <c r="I41" s="8" t="s">
        <v>133</v>
      </c>
      <c r="J41" s="8"/>
      <c r="K41" s="8" t="n">
        <v>0.9</v>
      </c>
      <c r="L41" s="8" t="n">
        <v>30</v>
      </c>
      <c r="M41" s="8" t="n">
        <v>42</v>
      </c>
      <c r="N41" s="8" t="s">
        <v>55</v>
      </c>
      <c r="O41" s="8" t="s">
        <v>37</v>
      </c>
      <c r="P41" s="8" t="s">
        <v>64</v>
      </c>
    </row>
    <row r="42" customFormat="false" ht="15" hidden="false" customHeight="false" outlineLevel="0" collapsed="false">
      <c r="A42" s="2" t="s">
        <v>134</v>
      </c>
      <c r="B42" s="2" t="s">
        <v>135</v>
      </c>
      <c r="C42" s="2" t="s">
        <v>75</v>
      </c>
      <c r="D42" s="2" t="s">
        <v>35</v>
      </c>
      <c r="E42" s="2" t="s">
        <v>99</v>
      </c>
      <c r="F42" s="2" t="s">
        <v>100</v>
      </c>
      <c r="G42" s="3" t="n">
        <v>45869</v>
      </c>
      <c r="H42" s="3" t="n">
        <v>45875</v>
      </c>
      <c r="I42" s="2" t="s">
        <v>22</v>
      </c>
      <c r="J42" s="2" t="n">
        <v>86</v>
      </c>
      <c r="K42" s="2" t="n">
        <v>6.7</v>
      </c>
      <c r="L42" s="2" t="n">
        <v>7</v>
      </c>
      <c r="M42" s="2" t="n">
        <v>6</v>
      </c>
      <c r="N42" s="2" t="s">
        <v>23</v>
      </c>
      <c r="O42" s="2" t="s">
        <v>37</v>
      </c>
      <c r="P42" s="2" t="s">
        <v>64</v>
      </c>
    </row>
    <row r="43" customFormat="false" ht="15" hidden="false" customHeight="false" outlineLevel="0" collapsed="false">
      <c r="A43" s="4" t="s">
        <v>136</v>
      </c>
      <c r="B43" s="4" t="s">
        <v>137</v>
      </c>
      <c r="C43" s="4" t="s">
        <v>53</v>
      </c>
      <c r="D43" s="4" t="s">
        <v>35</v>
      </c>
      <c r="E43" s="4" t="s">
        <v>29</v>
      </c>
      <c r="F43" s="4" t="s">
        <v>30</v>
      </c>
      <c r="G43" s="5" t="n">
        <v>45853</v>
      </c>
      <c r="H43" s="4"/>
      <c r="I43" s="4" t="s">
        <v>60</v>
      </c>
      <c r="J43" s="4"/>
      <c r="K43" s="4" t="n">
        <v>1.2</v>
      </c>
      <c r="L43" s="4" t="n">
        <v>7</v>
      </c>
      <c r="M43" s="4" t="n">
        <v>2</v>
      </c>
      <c r="N43" s="4" t="s">
        <v>55</v>
      </c>
      <c r="O43" s="4" t="s">
        <v>24</v>
      </c>
      <c r="P43" s="4" t="s">
        <v>64</v>
      </c>
    </row>
    <row r="44" customFormat="false" ht="15" hidden="false" customHeight="false" outlineLevel="0" collapsed="false">
      <c r="A44" s="2" t="s">
        <v>138</v>
      </c>
      <c r="B44" s="2" t="s">
        <v>139</v>
      </c>
      <c r="C44" s="2" t="s">
        <v>53</v>
      </c>
      <c r="D44" s="2" t="s">
        <v>19</v>
      </c>
      <c r="E44" s="2" t="s">
        <v>63</v>
      </c>
      <c r="F44" s="2" t="s">
        <v>21</v>
      </c>
      <c r="G44" s="3" t="n">
        <v>45772</v>
      </c>
      <c r="H44" s="3" t="n">
        <v>45779</v>
      </c>
      <c r="I44" s="2" t="s">
        <v>22</v>
      </c>
      <c r="J44" s="2" t="n">
        <v>81</v>
      </c>
      <c r="K44" s="2" t="n">
        <v>3.3</v>
      </c>
      <c r="L44" s="2" t="n">
        <v>7</v>
      </c>
      <c r="M44" s="2" t="n">
        <v>7</v>
      </c>
      <c r="N44" s="2" t="s">
        <v>23</v>
      </c>
      <c r="O44" s="2" t="s">
        <v>41</v>
      </c>
      <c r="P44" s="2" t="s">
        <v>25</v>
      </c>
    </row>
    <row r="45" customFormat="false" ht="15" hidden="false" customHeight="false" outlineLevel="0" collapsed="false">
      <c r="A45" s="2" t="s">
        <v>140</v>
      </c>
      <c r="B45" s="2" t="s">
        <v>141</v>
      </c>
      <c r="C45" s="2" t="s">
        <v>75</v>
      </c>
      <c r="D45" s="2" t="s">
        <v>19</v>
      </c>
      <c r="E45" s="2" t="s">
        <v>54</v>
      </c>
      <c r="F45" s="2" t="s">
        <v>46</v>
      </c>
      <c r="G45" s="3" t="n">
        <v>45918</v>
      </c>
      <c r="H45" s="3" t="n">
        <v>45953</v>
      </c>
      <c r="I45" s="2" t="s">
        <v>22</v>
      </c>
      <c r="J45" s="2" t="n">
        <v>81</v>
      </c>
      <c r="K45" s="2" t="n">
        <v>7.6</v>
      </c>
      <c r="L45" s="2" t="n">
        <v>30</v>
      </c>
      <c r="M45" s="2" t="n">
        <v>35</v>
      </c>
      <c r="N45" s="2" t="s">
        <v>55</v>
      </c>
      <c r="O45" s="2" t="s">
        <v>41</v>
      </c>
      <c r="P45" s="2" t="s">
        <v>64</v>
      </c>
    </row>
    <row r="46" customFormat="false" ht="15" hidden="false" customHeight="false" outlineLevel="0" collapsed="false">
      <c r="A46" s="2" t="s">
        <v>142</v>
      </c>
      <c r="B46" s="2" t="s">
        <v>143</v>
      </c>
      <c r="C46" s="2" t="s">
        <v>53</v>
      </c>
      <c r="D46" s="2" t="s">
        <v>35</v>
      </c>
      <c r="E46" s="2" t="s">
        <v>144</v>
      </c>
      <c r="F46" s="2" t="s">
        <v>30</v>
      </c>
      <c r="G46" s="3" t="n">
        <v>45793</v>
      </c>
      <c r="H46" s="3" t="n">
        <v>45800</v>
      </c>
      <c r="I46" s="2" t="s">
        <v>22</v>
      </c>
      <c r="J46" s="2" t="n">
        <v>82</v>
      </c>
      <c r="K46" s="2" t="n">
        <v>6.2</v>
      </c>
      <c r="L46" s="2" t="n">
        <v>7</v>
      </c>
      <c r="M46" s="2" t="n">
        <v>7</v>
      </c>
      <c r="N46" s="2" t="s">
        <v>23</v>
      </c>
      <c r="O46" s="2" t="s">
        <v>47</v>
      </c>
      <c r="P46" s="2" t="s">
        <v>25</v>
      </c>
    </row>
    <row r="47" customFormat="false" ht="15" hidden="false" customHeight="false" outlineLevel="0" collapsed="false">
      <c r="A47" s="4" t="s">
        <v>145</v>
      </c>
      <c r="B47" s="4" t="s">
        <v>146</v>
      </c>
      <c r="C47" s="4" t="s">
        <v>34</v>
      </c>
      <c r="D47" s="4" t="s">
        <v>19</v>
      </c>
      <c r="E47" s="4" t="s">
        <v>45</v>
      </c>
      <c r="F47" s="4" t="s">
        <v>46</v>
      </c>
      <c r="G47" s="5" t="n">
        <v>45717</v>
      </c>
      <c r="H47" s="4"/>
      <c r="I47" s="4" t="s">
        <v>60</v>
      </c>
      <c r="J47" s="4"/>
      <c r="K47" s="4" t="n">
        <v>1.4</v>
      </c>
      <c r="L47" s="4" t="n">
        <v>30</v>
      </c>
      <c r="M47" s="4" t="n">
        <v>7</v>
      </c>
      <c r="N47" s="4" t="s">
        <v>55</v>
      </c>
      <c r="O47" s="4" t="s">
        <v>24</v>
      </c>
      <c r="P47" s="4" t="s">
        <v>42</v>
      </c>
    </row>
    <row r="48" customFormat="false" ht="15" hidden="false" customHeight="false" outlineLevel="0" collapsed="false">
      <c r="A48" s="2" t="s">
        <v>147</v>
      </c>
      <c r="B48" s="2" t="s">
        <v>148</v>
      </c>
      <c r="C48" s="2" t="s">
        <v>28</v>
      </c>
      <c r="D48" s="2" t="s">
        <v>19</v>
      </c>
      <c r="E48" s="2" t="s">
        <v>45</v>
      </c>
      <c r="F48" s="2" t="s">
        <v>46</v>
      </c>
      <c r="G48" s="3" t="n">
        <v>45758</v>
      </c>
      <c r="H48" s="3" t="n">
        <v>45780</v>
      </c>
      <c r="I48" s="2" t="s">
        <v>22</v>
      </c>
      <c r="J48" s="2" t="n">
        <v>81</v>
      </c>
      <c r="K48" s="2" t="n">
        <v>5.6</v>
      </c>
      <c r="L48" s="2" t="n">
        <v>21</v>
      </c>
      <c r="M48" s="2" t="n">
        <v>22</v>
      </c>
      <c r="N48" s="2" t="s">
        <v>55</v>
      </c>
      <c r="O48" s="2" t="s">
        <v>41</v>
      </c>
      <c r="P48" s="2" t="s">
        <v>25</v>
      </c>
    </row>
    <row r="49" customFormat="false" ht="15" hidden="false" customHeight="false" outlineLevel="0" collapsed="false">
      <c r="A49" s="2" t="s">
        <v>149</v>
      </c>
      <c r="B49" s="2" t="s">
        <v>150</v>
      </c>
      <c r="C49" s="2" t="s">
        <v>18</v>
      </c>
      <c r="D49" s="2" t="s">
        <v>19</v>
      </c>
      <c r="E49" s="2" t="s">
        <v>45</v>
      </c>
      <c r="F49" s="2" t="s">
        <v>46</v>
      </c>
      <c r="G49" s="3" t="n">
        <v>45816</v>
      </c>
      <c r="H49" s="3" t="n">
        <v>45835</v>
      </c>
      <c r="I49" s="2" t="s">
        <v>22</v>
      </c>
      <c r="J49" s="2" t="n">
        <v>95</v>
      </c>
      <c r="K49" s="2" t="n">
        <v>2.3</v>
      </c>
      <c r="L49" s="2" t="n">
        <v>30</v>
      </c>
      <c r="M49" s="2" t="n">
        <v>19</v>
      </c>
      <c r="N49" s="2" t="s">
        <v>23</v>
      </c>
      <c r="O49" s="2" t="s">
        <v>24</v>
      </c>
      <c r="P49" s="2" t="s">
        <v>25</v>
      </c>
    </row>
    <row r="50" customFormat="false" ht="15" hidden="false" customHeight="false" outlineLevel="0" collapsed="false">
      <c r="A50" s="2" t="s">
        <v>151</v>
      </c>
      <c r="B50" s="2" t="s">
        <v>152</v>
      </c>
      <c r="C50" s="2" t="s">
        <v>18</v>
      </c>
      <c r="D50" s="2" t="s">
        <v>35</v>
      </c>
      <c r="E50" s="2" t="s">
        <v>99</v>
      </c>
      <c r="F50" s="2" t="s">
        <v>100</v>
      </c>
      <c r="G50" s="3" t="n">
        <v>45949</v>
      </c>
      <c r="H50" s="3" t="n">
        <v>45950</v>
      </c>
      <c r="I50" s="2" t="s">
        <v>22</v>
      </c>
      <c r="J50" s="2" t="n">
        <v>79</v>
      </c>
      <c r="K50" s="2" t="n">
        <v>3.4</v>
      </c>
      <c r="L50" s="2" t="n">
        <v>21</v>
      </c>
      <c r="M50" s="2" t="n">
        <v>1</v>
      </c>
      <c r="N50" s="2" t="s">
        <v>23</v>
      </c>
      <c r="O50" s="2" t="s">
        <v>24</v>
      </c>
      <c r="P50" s="2" t="s">
        <v>67</v>
      </c>
    </row>
    <row r="51" customFormat="false" ht="15" hidden="false" customHeight="false" outlineLevel="0" collapsed="false">
      <c r="A51" s="2" t="s">
        <v>153</v>
      </c>
      <c r="B51" s="2" t="s">
        <v>154</v>
      </c>
      <c r="C51" s="2" t="s">
        <v>75</v>
      </c>
      <c r="D51" s="2" t="s">
        <v>19</v>
      </c>
      <c r="E51" s="2" t="s">
        <v>144</v>
      </c>
      <c r="F51" s="2" t="s">
        <v>30</v>
      </c>
      <c r="G51" s="3" t="n">
        <v>45822</v>
      </c>
      <c r="H51" s="3" t="n">
        <v>45836</v>
      </c>
      <c r="I51" s="2" t="s">
        <v>22</v>
      </c>
      <c r="J51" s="2" t="n">
        <v>92</v>
      </c>
      <c r="K51" s="2" t="n">
        <v>4.6</v>
      </c>
      <c r="L51" s="2" t="n">
        <v>30</v>
      </c>
      <c r="M51" s="2" t="n">
        <v>14</v>
      </c>
      <c r="N51" s="2" t="s">
        <v>23</v>
      </c>
      <c r="O51" s="2" t="s">
        <v>37</v>
      </c>
      <c r="P51" s="2" t="s">
        <v>25</v>
      </c>
    </row>
  </sheetData>
  <autoFilter ref="A1:P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0" t="s">
        <v>155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 t="s">
        <v>156</v>
      </c>
      <c r="B3" s="11" t="s">
        <v>157</v>
      </c>
    </row>
    <row r="4" customFormat="false" ht="15" hidden="false" customHeight="false" outlineLevel="0" collapsed="false">
      <c r="A4" s="12" t="s">
        <v>158</v>
      </c>
      <c r="B4" s="12" t="n">
        <f aca="false">COUNTA(Learning_Data!B2:B51)</f>
        <v>50</v>
      </c>
    </row>
    <row r="5" customFormat="false" ht="15" hidden="false" customHeight="false" outlineLevel="0" collapsed="false">
      <c r="A5" s="13" t="s">
        <v>159</v>
      </c>
      <c r="B5" s="13" t="n">
        <f aca="false">COUNTA(Learning_Data!E2:E51)</f>
        <v>50</v>
      </c>
    </row>
    <row r="6" customFormat="false" ht="15" hidden="false" customHeight="false" outlineLevel="0" collapsed="false">
      <c r="A6" s="14" t="s">
        <v>160</v>
      </c>
      <c r="B6" s="14" t="n">
        <f aca="false">COUNTIF(Learning_Data!I2:I51,"Completed")/COUNTA(Learning_Data!I2:I51)*100</f>
        <v>74</v>
      </c>
    </row>
    <row r="7" customFormat="false" ht="15" hidden="false" customHeight="false" outlineLevel="0" collapsed="false">
      <c r="A7" s="15" t="s">
        <v>161</v>
      </c>
      <c r="B7" s="15" t="n">
        <f aca="false">COUNTIF(Learning_Data!N2:N51,"Yes")/COUNTA(Learning_Data!N2:N51)*100</f>
        <v>48</v>
      </c>
    </row>
    <row r="8" customFormat="false" ht="15" hidden="false" customHeight="false" outlineLevel="0" collapsed="false">
      <c r="A8" s="16" t="s">
        <v>162</v>
      </c>
      <c r="B8" s="16" t="n">
        <f aca="false">AVERAGEIF(Learning_Data!J2:J51,"&gt;0")</f>
        <v>81.8378378378378</v>
      </c>
    </row>
    <row r="9" customFormat="false" ht="15" hidden="false" customHeight="false" outlineLevel="0" collapsed="false">
      <c r="A9" s="17" t="s">
        <v>163</v>
      </c>
      <c r="B9" s="17" t="n">
        <f aca="false">COUNTIF(Learning_Data!I2:I51,"Overdue")</f>
        <v>1</v>
      </c>
    </row>
    <row r="10" customFormat="false" ht="15" hidden="false" customHeight="false" outlineLevel="0" collapsed="false">
      <c r="A10" s="13" t="s">
        <v>164</v>
      </c>
      <c r="B10" s="13" t="n">
        <f aca="false">AVERAGE(Learning_Data!K2:K51)</f>
        <v>3.932</v>
      </c>
    </row>
    <row r="11" customFormat="false" ht="15" hidden="false" customHeight="false" outlineLevel="0" collapsed="false">
      <c r="A11" s="12" t="s">
        <v>165</v>
      </c>
      <c r="B11" s="12" t="n">
        <f aca="false">COUNTIF(Learning_Data!D2:D51,"APAC")</f>
        <v>28</v>
      </c>
    </row>
    <row r="12" customFormat="false" ht="15" hidden="false" customHeight="false" outlineLevel="0" collapsed="false">
      <c r="A12" s="12" t="s">
        <v>166</v>
      </c>
      <c r="B12" s="12" t="n">
        <f aca="false">COUNTIF(Learning_Data!D2:D51,"EMEA")</f>
        <v>22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6.15" hidden="false" customHeight="false" outlineLevel="0" collapsed="false">
      <c r="A1" s="18" t="s">
        <v>167</v>
      </c>
      <c r="B1" s="18"/>
      <c r="C1" s="18"/>
      <c r="D1" s="18"/>
    </row>
    <row r="3" customFormat="false" ht="15" hidden="false" customHeight="false" outlineLevel="0" collapsed="false">
      <c r="A3" s="19" t="s">
        <v>2</v>
      </c>
      <c r="B3" s="19" t="s">
        <v>168</v>
      </c>
      <c r="C3" s="19" t="s">
        <v>22</v>
      </c>
      <c r="D3" s="19" t="s">
        <v>160</v>
      </c>
    </row>
    <row r="4" customFormat="false" ht="15" hidden="false" customHeight="false" outlineLevel="0" collapsed="false">
      <c r="A4" s="12" t="s">
        <v>28</v>
      </c>
      <c r="B4" s="12" t="n">
        <f aca="false">COUNTIF(Learning_Data!C:C,"Sales")</f>
        <v>7</v>
      </c>
      <c r="C4" s="12" t="n">
        <f aca="false">COUNTIFS(Learning_Data!C:C,"Sales",Learning_Data!I:I,"Completed")</f>
        <v>5</v>
      </c>
      <c r="D4" s="12" t="n">
        <f aca="false">IF(B4=0,0,C4/B4*100)</f>
        <v>71.4285714285714</v>
      </c>
    </row>
    <row r="5" customFormat="false" ht="15" hidden="false" customHeight="false" outlineLevel="0" collapsed="false">
      <c r="A5" s="12" t="s">
        <v>40</v>
      </c>
      <c r="B5" s="12" t="n">
        <f aca="false">COUNTIF(Learning_Data!C:C,"Operations")</f>
        <v>4</v>
      </c>
      <c r="C5" s="12" t="n">
        <f aca="false">COUNTIFS(Learning_Data!C:C,"Operations",Learning_Data!I:I,"Completed")</f>
        <v>3</v>
      </c>
      <c r="D5" s="12" t="n">
        <f aca="false">IF(B5=0,0,C5/B5*100)</f>
        <v>75</v>
      </c>
    </row>
    <row r="6" customFormat="false" ht="15" hidden="false" customHeight="false" outlineLevel="0" collapsed="false">
      <c r="A6" s="12" t="s">
        <v>53</v>
      </c>
      <c r="B6" s="12" t="n">
        <f aca="false">COUNTIF(Learning_Data!C:C,"HR")</f>
        <v>10</v>
      </c>
      <c r="C6" s="12" t="n">
        <f aca="false">COUNTIFS(Learning_Data!C:C,"HR",Learning_Data!I:I,"Completed")</f>
        <v>8</v>
      </c>
      <c r="D6" s="12" t="n">
        <f aca="false">IF(B6=0,0,C6/B6*100)</f>
        <v>80</v>
      </c>
    </row>
    <row r="7" customFormat="false" ht="15" hidden="false" customHeight="false" outlineLevel="0" collapsed="false">
      <c r="A7" s="12" t="s">
        <v>34</v>
      </c>
      <c r="B7" s="12" t="n">
        <f aca="false">COUNTIF(Learning_Data!C:C,"Finance")</f>
        <v>5</v>
      </c>
      <c r="C7" s="12" t="n">
        <f aca="false">COUNTIFS(Learning_Data!C:C,"Finance",Learning_Data!I:I,"Completed")</f>
        <v>4</v>
      </c>
      <c r="D7" s="12" t="n">
        <f aca="false">IF(B7=0,0,C7/B7*100)</f>
        <v>80</v>
      </c>
    </row>
    <row r="8" customFormat="false" ht="15" hidden="false" customHeight="false" outlineLevel="0" collapsed="false">
      <c r="A8" s="12" t="s">
        <v>50</v>
      </c>
      <c r="B8" s="12" t="n">
        <f aca="false">COUNTIF(Learning_Data!C:C,"IT")</f>
        <v>9</v>
      </c>
      <c r="C8" s="12" t="n">
        <f aca="false">COUNTIFS(Learning_Data!C:C,"IT",Learning_Data!I:I,"Completed")</f>
        <v>6</v>
      </c>
      <c r="D8" s="12" t="n">
        <f aca="false">IF(B8=0,0,C8/B8*100)</f>
        <v>66.6666666666667</v>
      </c>
    </row>
    <row r="9" customFormat="false" ht="15" hidden="false" customHeight="false" outlineLevel="0" collapsed="false">
      <c r="A9" s="12" t="s">
        <v>18</v>
      </c>
      <c r="B9" s="12" t="n">
        <f aca="false">COUNTIF(Learning_Data!C:C,"Marketing")</f>
        <v>8</v>
      </c>
      <c r="C9" s="12" t="n">
        <f aca="false">COUNTIFS(Learning_Data!C:C,"Marketing",Learning_Data!I:I,"Completed")</f>
        <v>5</v>
      </c>
      <c r="D9" s="12" t="n">
        <f aca="false">IF(B9=0,0,C9/B9*100)</f>
        <v>62.5</v>
      </c>
    </row>
    <row r="10" customFormat="false" ht="15" hidden="false" customHeight="false" outlineLevel="0" collapsed="false">
      <c r="A10" s="12" t="s">
        <v>75</v>
      </c>
      <c r="B10" s="12" t="n">
        <f aca="false">COUNTIF(Learning_Data!C:C,"Supply Chain")</f>
        <v>7</v>
      </c>
      <c r="C10" s="12" t="n">
        <f aca="false">COUNTIFS(Learning_Data!C:C,"Supply Chain",Learning_Data!I:I,"Completed")</f>
        <v>6</v>
      </c>
      <c r="D10" s="12" t="n">
        <f aca="false">IF(B10=0,0,C10/B10*100)</f>
        <v>85.7142857142857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2026-03-11T17:48:52Z</dcterms:created>
  <dc:creator>openpyxl</dc:creator>
  <dc:description/>
  <dc:language>en-US</dc:language>
  <cp:lastModifiedBy/>
  <dcterms:modified xsi:type="dcterms:W3CDTF">2026-03-11T17:48:52Z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